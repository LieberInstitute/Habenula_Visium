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10.17.9.46\Neural_Plasticity\Molecular_Profiling\Habenula\Human\Visium_experiment\Hb_Visium_Slide4_12_11_24_KDM\"/>
    </mc:Choice>
  </mc:AlternateContent>
  <xr:revisionPtr revIDLastSave="0" documentId="13_ncr:1_{22BBA86C-1CFB-4A03-ABA3-5E7AE0BDE514}" xr6:coauthVersionLast="47" xr6:coauthVersionMax="47" xr10:uidLastSave="{00000000-0000-0000-0000-000000000000}"/>
  <bookViews>
    <workbookView xWindow="-110" yWindow="-110" windowWidth="19420" windowHeight="10420" tabRatio="500" activeTab="3" xr2:uid="{00000000-000D-0000-FFFF-FFFF00000000}"/>
  </bookViews>
  <sheets>
    <sheet name="Summary" sheetId="1" r:id="rId1"/>
    <sheet name="qPCR" sheetId="2" r:id="rId2"/>
    <sheet name="cDNA Agilent" sheetId="3" r:id="rId3"/>
    <sheet name="Lib Agilen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X8" i="3" l="1"/>
  <c r="W8" i="3"/>
  <c r="X7" i="3"/>
  <c r="W7" i="3"/>
  <c r="X6" i="3"/>
  <c r="W6" i="3"/>
  <c r="X5" i="3"/>
  <c r="W5" i="3"/>
  <c r="AB3" i="1"/>
  <c r="AB4" i="1"/>
  <c r="AB5" i="1"/>
  <c r="AB6" i="1"/>
  <c r="V3" i="1"/>
  <c r="V4" i="1"/>
  <c r="U3" i="1"/>
  <c r="U4" i="1"/>
  <c r="U5" i="1"/>
  <c r="U6" i="1"/>
  <c r="T3" i="1"/>
  <c r="T4" i="1"/>
  <c r="T5" i="1"/>
  <c r="T6" i="1"/>
  <c r="S3" i="1"/>
  <c r="S4" i="1"/>
  <c r="S5" i="1"/>
  <c r="V5" i="1" s="1"/>
  <c r="S6" i="1"/>
  <c r="L3" i="1"/>
  <c r="L4" i="1"/>
  <c r="L5" i="1"/>
  <c r="L6" i="1"/>
  <c r="K3" i="1"/>
  <c r="K4" i="1"/>
  <c r="K5" i="1"/>
  <c r="K6" i="1"/>
  <c r="J3" i="1"/>
  <c r="J4" i="1"/>
  <c r="J5" i="1"/>
  <c r="J6" i="1"/>
  <c r="V2" i="1"/>
  <c r="U2" i="1"/>
  <c r="T2" i="1"/>
  <c r="S2" i="1"/>
  <c r="X4" i="3"/>
  <c r="W4" i="3"/>
  <c r="V6" i="1" l="1"/>
  <c r="K2" i="1"/>
  <c r="L2" i="1" s="1"/>
  <c r="J2" i="1"/>
  <c r="AB2" i="1" l="1"/>
</calcChain>
</file>

<file path=xl/sharedStrings.xml><?xml version="1.0" encoding="utf-8"?>
<sst xmlns="http://schemas.openxmlformats.org/spreadsheetml/2006/main" count="136" uniqueCount="74">
  <si>
    <t>Sample #</t>
  </si>
  <si>
    <t>Tissue</t>
  </si>
  <si>
    <t>Brain</t>
  </si>
  <si>
    <t>Slide #</t>
  </si>
  <si>
    <t>Array #</t>
  </si>
  <si>
    <t>A1</t>
  </si>
  <si>
    <t>B1</t>
  </si>
  <si>
    <t>C1</t>
  </si>
  <si>
    <t>D1</t>
  </si>
  <si>
    <t>Ct</t>
  </si>
  <si>
    <t>cDNA Amp Cycle</t>
  </si>
  <si>
    <t>cDNA Input</t>
  </si>
  <si>
    <t>SI cycles</t>
  </si>
  <si>
    <t>index_name</t>
  </si>
  <si>
    <t>index(i7)</t>
  </si>
  <si>
    <t>index2_workflow_a(i5)</t>
  </si>
  <si>
    <t>index2_workflow_b(i5)</t>
  </si>
  <si>
    <t>Ave frag length</t>
  </si>
  <si>
    <t>% Coverage Array</t>
  </si>
  <si>
    <t xml:space="preserve">Est Read Pairs </t>
  </si>
  <si>
    <t>Pos</t>
  </si>
  <si>
    <t>Name</t>
  </si>
  <si>
    <t>Ct FAM</t>
  </si>
  <si>
    <t>Note</t>
  </si>
  <si>
    <t>E1</t>
  </si>
  <si>
    <t>N/A</t>
  </si>
  <si>
    <t>negative control</t>
  </si>
  <si>
    <t>V12N28-334</t>
  </si>
  <si>
    <t>HYP</t>
  </si>
  <si>
    <t>Hs_Br6197</t>
  </si>
  <si>
    <t>HYP_1v_hrd</t>
  </si>
  <si>
    <t>SI-TT-G9</t>
  </si>
  <si>
    <t>CCGGAGGAAG</t>
  </si>
  <si>
    <t>TGCGGATGTT</t>
  </si>
  <si>
    <t>AACATCCGCA</t>
  </si>
  <si>
    <t>Agilent [cDNA] pg/ul</t>
  </si>
  <si>
    <t>Total cDNA ng yield</t>
  </si>
  <si>
    <t>Final [cDNA] pg/ul</t>
  </si>
  <si>
    <t>Dilution Factor</t>
  </si>
  <si>
    <t xml:space="preserve"> Agilent Lib Molarity (pmol/L)</t>
  </si>
  <si>
    <t xml:space="preserve">Agilent Lib Conc. (pg/ul) </t>
  </si>
  <si>
    <t>Agilent primer-dimer peaks Conc. pg/uL.           (~40-170bp)</t>
  </si>
  <si>
    <t>FINAL Lib Conc. (pg/ul)</t>
  </si>
  <si>
    <t>FINAL Lib Molarity (pmol/L)</t>
  </si>
  <si>
    <t>FINAL primer-dimer peaks Conc. pg/uL</t>
  </si>
  <si>
    <t>% primer-dimer/sample</t>
  </si>
  <si>
    <t>14V_Hb_KDM</t>
  </si>
  <si>
    <t>15V_Hb_KDM</t>
  </si>
  <si>
    <t>16V_Hb_KDM</t>
  </si>
  <si>
    <t>17V_Hb_KDM</t>
  </si>
  <si>
    <t>Hb</t>
  </si>
  <si>
    <t>Hs_Br9037</t>
  </si>
  <si>
    <t>V13B23-280</t>
  </si>
  <si>
    <t>SI-TT-C4</t>
  </si>
  <si>
    <t>SI-TT-D4</t>
  </si>
  <si>
    <t>SI-TT-E4</t>
  </si>
  <si>
    <t>SI-TT-F4</t>
  </si>
  <si>
    <t>TTCTCGATGA</t>
  </si>
  <si>
    <t>TGTCGGGCAC</t>
  </si>
  <si>
    <t>GTGCCCGACA</t>
  </si>
  <si>
    <t>GCAGTATAGG</t>
  </si>
  <si>
    <t>TTCCGTGCAC</t>
  </si>
  <si>
    <t>GTGCACGGAA</t>
  </si>
  <si>
    <t>AACCACGCAT</t>
  </si>
  <si>
    <t>ATTCAGGTTA</t>
  </si>
  <si>
    <t>TAACCTGAAT</t>
  </si>
  <si>
    <t>CCCACCACAA</t>
  </si>
  <si>
    <t>ACCTCCGCTT</t>
  </si>
  <si>
    <t>AAGCGGAGGT</t>
  </si>
  <si>
    <t>~25% of the peak fluorescence value</t>
  </si>
  <si>
    <t>#1 1:15 dilution</t>
  </si>
  <si>
    <t>#2  1:8 dilution</t>
  </si>
  <si>
    <t>#4 1:2 dilution</t>
  </si>
  <si>
    <t>#3 1:5 dilution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</si>
</sst>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8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6" fillId="2" borderId="3" xfId="0" applyFont="1" applyFill="1" applyBorder="1" applyAlignment="1">
      <alignment horizontal="center"/>
    </xf>
    <xf numFmtId="2" fontId="6" fillId="2" borderId="3" xfId="0" applyNumberFormat="1" applyFont="1" applyFill="1" applyBorder="1" applyAlignment="1">
      <alignment horizontal="center"/>
    </xf>
    <xf numFmtId="0" fontId="0" fillId="0" borderId="1" xfId="0" applyBorder="1"/>
    <xf numFmtId="0" fontId="1" fillId="0" borderId="1" xfId="7" applyFont="1" applyBorder="1" applyAlignment="1">
      <alignment horizontal="center" wrapText="1"/>
    </xf>
    <xf numFmtId="0" fontId="1" fillId="0" borderId="1" xfId="7" applyFont="1" applyBorder="1" applyAlignment="1">
      <alignment horizontal="right" wrapText="1"/>
    </xf>
    <xf numFmtId="2" fontId="1" fillId="0" borderId="1" xfId="7" applyNumberFormat="1" applyFont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4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7" fillId="2" borderId="1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  <cellStyle name="Normal 2" xfId="7" xr:uid="{D2EBCF33-407B-6C40-BAD2-F6422F18DF7E}"/>
    <cellStyle name="Normal 3" xfId="8" xr:uid="{CA21E729-BE5E-DC4B-9657-DA79D635DD7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1219200</xdr:colOff>
      <xdr:row>8</xdr:row>
      <xdr:rowOff>190500</xdr:rowOff>
    </xdr:from>
    <xdr:to>
      <xdr:col>4</xdr:col>
      <xdr:colOff>311150</xdr:colOff>
      <xdr:row>50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1B52ED-7582-CF4B-E19E-4FE04909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16100"/>
          <a:ext cx="14966950" cy="836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444500</xdr:colOff>
      <xdr:row>12</xdr:row>
      <xdr:rowOff>127000</xdr:rowOff>
    </xdr:from>
    <xdr:to>
      <xdr:col>20</xdr:col>
      <xdr:colOff>810366</xdr:colOff>
      <xdr:row>21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B1230C-5AC0-E59D-1A80-9F806F176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8581"/>
        <a:stretch/>
      </xdr:blipFill>
      <xdr:spPr>
        <a:xfrm>
          <a:off x="9804400" y="2959100"/>
          <a:ext cx="10068666" cy="1841500"/>
        </a:xfrm>
        <a:prstGeom prst="rect">
          <a:avLst/>
        </a:prstGeom>
      </xdr:spPr>
    </xdr:pic>
    <xdr:clientData/>
  </xdr:twoCellAnchor>
  <xdr:twoCellAnchor editAs="oneCell">
    <xdr:from>
      <xdr:col>7</xdr:col>
      <xdr:colOff>330200</xdr:colOff>
      <xdr:row>12</xdr:row>
      <xdr:rowOff>190500</xdr:rowOff>
    </xdr:from>
    <xdr:to>
      <xdr:col>11</xdr:col>
      <xdr:colOff>315066</xdr:colOff>
      <xdr:row>21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DC7507-0EE1-4F47-9A47-5C3063B4B0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347" b="52127"/>
        <a:stretch/>
      </xdr:blipFill>
      <xdr:spPr>
        <a:xfrm>
          <a:off x="6286500" y="3022600"/>
          <a:ext cx="3388466" cy="1714500"/>
        </a:xfrm>
        <a:prstGeom prst="rect">
          <a:avLst/>
        </a:prstGeom>
      </xdr:spPr>
    </xdr:pic>
    <xdr:clientData/>
  </xdr:twoCellAnchor>
  <xdr:twoCellAnchor editAs="oneCell">
    <xdr:from>
      <xdr:col>0</xdr:col>
      <xdr:colOff>787400</xdr:colOff>
      <xdr:row>2</xdr:row>
      <xdr:rowOff>139699</xdr:rowOff>
    </xdr:from>
    <xdr:to>
      <xdr:col>6</xdr:col>
      <xdr:colOff>406400</xdr:colOff>
      <xdr:row>31</xdr:row>
      <xdr:rowOff>82290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22BCBC2-D9C5-96B3-2E94-CB12BB65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00" y="546099"/>
          <a:ext cx="4724400" cy="6229091"/>
        </a:xfrm>
        <a:prstGeom prst="rect">
          <a:avLst/>
        </a:prstGeom>
      </xdr:spPr>
    </xdr:pic>
    <xdr:clientData/>
  </xdr:twoCellAnchor>
  <xdr:twoCellAnchor>
    <xdr:from>
      <xdr:col>3</xdr:col>
      <xdr:colOff>762000</xdr:colOff>
      <xdr:row>2</xdr:row>
      <xdr:rowOff>101600</xdr:rowOff>
    </xdr:from>
    <xdr:to>
      <xdr:col>6</xdr:col>
      <xdr:colOff>431800</xdr:colOff>
      <xdr:row>31</xdr:row>
      <xdr:rowOff>114300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E38BD7A-4E14-8433-1342-279F2D0787BD}"/>
            </a:ext>
          </a:extLst>
        </xdr:cNvPr>
        <xdr:cNvSpPr/>
      </xdr:nvSpPr>
      <xdr:spPr>
        <a:xfrm>
          <a:off x="3314700" y="508000"/>
          <a:ext cx="2222500" cy="62992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368300</xdr:colOff>
      <xdr:row>1</xdr:row>
      <xdr:rowOff>127000</xdr:rowOff>
    </xdr:from>
    <xdr:to>
      <xdr:col>12</xdr:col>
      <xdr:colOff>139700</xdr:colOff>
      <xdr:row>30</xdr:row>
      <xdr:rowOff>187686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489D1-F7D3-81CD-94D6-DA26E5C00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4200" y="330200"/>
          <a:ext cx="6578600" cy="5953486"/>
        </a:xfrm>
        <a:prstGeom prst="rect">
          <a:avLst/>
        </a:prstGeom>
      </xdr:spPr>
    </xdr:pic>
    <xdr:clientData/>
  </xdr:twoCellAnchor>
  <xdr:twoCellAnchor>
    <xdr:from>
      <xdr:col>9</xdr:col>
      <xdr:colOff>334434</xdr:colOff>
      <xdr:row>1</xdr:row>
      <xdr:rowOff>165100</xdr:rowOff>
    </xdr:from>
    <xdr:to>
      <xdr:col>10</xdr:col>
      <xdr:colOff>482600</xdr:colOff>
      <xdr:row>31</xdr:row>
      <xdr:rowOff>38099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E38F7EA-C31F-1992-7E6E-BCDE94F7D201}"/>
            </a:ext>
          </a:extLst>
        </xdr:cNvPr>
        <xdr:cNvSpPr/>
      </xdr:nvSpPr>
      <xdr:spPr>
        <a:xfrm>
          <a:off x="8614834" y="368300"/>
          <a:ext cx="999066" cy="5968999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495300</xdr:colOff>
      <xdr:row>1</xdr:row>
      <xdr:rowOff>88900</xdr:rowOff>
    </xdr:from>
    <xdr:to>
      <xdr:col>24</xdr:col>
      <xdr:colOff>673100</xdr:colOff>
      <xdr:row>12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6D096A-76CE-59E5-461B-68E7442694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32397" b="48596"/>
        <a:stretch/>
      </xdr:blipFill>
      <xdr:spPr>
        <a:xfrm>
          <a:off x="13030200" y="292100"/>
          <a:ext cx="8686800" cy="2324100"/>
        </a:xfrm>
        <a:prstGeom prst="rect">
          <a:avLst/>
        </a:prstGeom>
      </xdr:spPr>
    </xdr:pic>
    <xdr:clientData/>
  </xdr:twoCellAnchor>
  <xdr:twoCellAnchor editAs="oneCell">
    <xdr:from>
      <xdr:col>15</xdr:col>
      <xdr:colOff>12700</xdr:colOff>
      <xdr:row>14</xdr:row>
      <xdr:rowOff>76199</xdr:rowOff>
    </xdr:from>
    <xdr:to>
      <xdr:col>26</xdr:col>
      <xdr:colOff>177800</xdr:colOff>
      <xdr:row>27</xdr:row>
      <xdr:rowOff>3394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448AE7-B6F5-DAD0-D019-A259157CC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98500" y="2920999"/>
          <a:ext cx="9525000" cy="2568795"/>
        </a:xfrm>
        <a:prstGeom prst="rect">
          <a:avLst/>
        </a:prstGeom>
      </xdr:spPr>
    </xdr:pic>
    <xdr:clientData/>
  </xdr:twoCellAnchor>
  <xdr:twoCellAnchor editAs="oneCell">
    <xdr:from>
      <xdr:col>10</xdr:col>
      <xdr:colOff>647700</xdr:colOff>
      <xdr:row>1</xdr:row>
      <xdr:rowOff>152400</xdr:rowOff>
    </xdr:from>
    <xdr:to>
      <xdr:col>14</xdr:col>
      <xdr:colOff>127000</xdr:colOff>
      <xdr:row>30</xdr:row>
      <xdr:rowOff>147839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378036-A7B6-6931-7EDE-267A3EC07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79000" y="355600"/>
          <a:ext cx="2882900" cy="5888239"/>
        </a:xfrm>
        <a:prstGeom prst="rect">
          <a:avLst/>
        </a:prstGeom>
      </xdr:spPr>
    </xdr:pic>
    <xdr:clientData/>
  </xdr:twoCellAnchor>
  <xdr:twoCellAnchor>
    <xdr:from>
      <xdr:col>12</xdr:col>
      <xdr:colOff>817034</xdr:colOff>
      <xdr:row>1</xdr:row>
      <xdr:rowOff>114300</xdr:rowOff>
    </xdr:from>
    <xdr:to>
      <xdr:col>14</xdr:col>
      <xdr:colOff>114300</xdr:colOff>
      <xdr:row>30</xdr:row>
      <xdr:rowOff>190499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0EE23B7-DBE5-425D-BA74-3C0FA6380813}"/>
            </a:ext>
          </a:extLst>
        </xdr:cNvPr>
        <xdr:cNvSpPr/>
      </xdr:nvSpPr>
      <xdr:spPr>
        <a:xfrm>
          <a:off x="11650134" y="317500"/>
          <a:ext cx="999066" cy="5968999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3"/>
  <sheetViews>
    <sheetView topLeftCell="O1" zoomScale="104" zoomScaleNormal="104" workbookViewId="0">
      <pane ySplit="1" topLeftCell="A2" activePane="bottomLeft" state="frozen"/>
      <selection pane="bottomLeft" activeCell="V9" sqref="V9"/>
    </sheetView>
  </sheetViews>
  <sheetFormatPr defaultColWidth="11.1640625" defaultRowHeight="15.5" x14ac:dyDescent="0.35"/>
  <cols>
    <col min="1" max="1" width="18.1640625" style="2" customWidth="1"/>
    <col min="2" max="2" width="12" style="2" bestFit="1" customWidth="1"/>
    <col min="3" max="3" width="16.6640625" style="2" bestFit="1" customWidth="1"/>
    <col min="4" max="4" width="12.6640625" style="2" customWidth="1"/>
    <col min="5" max="5" width="9.33203125" style="2" customWidth="1"/>
    <col min="6" max="6" width="8.1640625" style="2" customWidth="1"/>
    <col min="7" max="7" width="14.83203125" style="2" customWidth="1"/>
    <col min="8" max="8" width="13.1640625" style="2" customWidth="1"/>
    <col min="9" max="10" width="13.1640625" style="3" customWidth="1"/>
    <col min="11" max="11" width="14" style="2" customWidth="1"/>
    <col min="12" max="12" width="11.1640625" style="3"/>
    <col min="13" max="13" width="12.1640625" style="2" bestFit="1" customWidth="1"/>
    <col min="14" max="14" width="16.83203125" style="2" customWidth="1"/>
    <col min="15" max="15" width="12.33203125" style="2" customWidth="1"/>
    <col min="16" max="16" width="15.5" style="2" customWidth="1"/>
    <col min="17" max="19" width="16.83203125" style="2" customWidth="1"/>
    <col min="20" max="20" width="11.1640625" style="2"/>
    <col min="21" max="21" width="14.83203125" style="2" customWidth="1"/>
    <col min="22" max="22" width="21.33203125" style="2" customWidth="1"/>
    <col min="23" max="23" width="20.33203125" style="2" customWidth="1"/>
    <col min="24" max="24" width="15.83203125" style="2" customWidth="1"/>
    <col min="25" max="25" width="15.1640625" style="2" customWidth="1"/>
    <col min="26" max="26" width="14.33203125" style="2" customWidth="1"/>
    <col min="27" max="16384" width="11.1640625" style="2"/>
  </cols>
  <sheetData>
    <row r="1" spans="1:33" s="5" customFormat="1" ht="62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9</v>
      </c>
      <c r="G1" s="5" t="s">
        <v>10</v>
      </c>
      <c r="H1" s="5" t="s">
        <v>35</v>
      </c>
      <c r="I1" s="7" t="s">
        <v>38</v>
      </c>
      <c r="J1" s="7" t="s">
        <v>37</v>
      </c>
      <c r="K1" s="5" t="s">
        <v>36</v>
      </c>
      <c r="L1" s="7" t="s">
        <v>11</v>
      </c>
      <c r="M1" s="5" t="s">
        <v>12</v>
      </c>
      <c r="N1" s="5" t="s">
        <v>17</v>
      </c>
      <c r="O1" s="19" t="s">
        <v>40</v>
      </c>
      <c r="P1" s="5" t="s">
        <v>39</v>
      </c>
      <c r="Q1" s="5" t="s">
        <v>41</v>
      </c>
      <c r="R1" s="5" t="s">
        <v>38</v>
      </c>
      <c r="S1" s="19" t="s">
        <v>42</v>
      </c>
      <c r="T1" s="5" t="s">
        <v>43</v>
      </c>
      <c r="U1" s="5" t="s">
        <v>44</v>
      </c>
      <c r="V1" s="5" t="s">
        <v>45</v>
      </c>
      <c r="W1" s="5" t="s">
        <v>13</v>
      </c>
      <c r="X1" s="5" t="s">
        <v>14</v>
      </c>
      <c r="Y1" s="5" t="s">
        <v>15</v>
      </c>
      <c r="Z1" s="5" t="s">
        <v>16</v>
      </c>
      <c r="AA1" s="5" t="s">
        <v>18</v>
      </c>
      <c r="AB1" s="5" t="s">
        <v>19</v>
      </c>
    </row>
    <row r="2" spans="1:33" s="20" customFormat="1" x14ac:dyDescent="0.35">
      <c r="A2" s="20" t="s">
        <v>30</v>
      </c>
      <c r="B2" s="20" t="s">
        <v>28</v>
      </c>
      <c r="C2" s="20" t="s">
        <v>29</v>
      </c>
      <c r="D2" s="20" t="s">
        <v>27</v>
      </c>
      <c r="E2" s="20" t="s">
        <v>5</v>
      </c>
      <c r="F2" s="21">
        <v>15.91</v>
      </c>
      <c r="G2" s="20">
        <v>16</v>
      </c>
      <c r="H2" s="20">
        <v>1950.02</v>
      </c>
      <c r="I2" s="21">
        <v>9</v>
      </c>
      <c r="J2" s="21">
        <f>H2*I2</f>
        <v>17550.18</v>
      </c>
      <c r="K2" s="21">
        <f>(H2*I2*40)/1000</f>
        <v>702.0071999999999</v>
      </c>
      <c r="L2" s="21">
        <f>0.25*K2</f>
        <v>175.50179999999997</v>
      </c>
      <c r="M2" s="20">
        <v>15</v>
      </c>
      <c r="N2" s="20">
        <v>443</v>
      </c>
      <c r="O2" s="20">
        <v>3119.47</v>
      </c>
      <c r="P2" s="20">
        <v>50000</v>
      </c>
      <c r="Q2" s="20">
        <v>25</v>
      </c>
      <c r="R2" s="21">
        <v>5</v>
      </c>
      <c r="S2" s="22">
        <f>O2*R2</f>
        <v>15597.349999999999</v>
      </c>
      <c r="T2" s="22">
        <f>P2*R2</f>
        <v>250000</v>
      </c>
      <c r="U2" s="22">
        <f>Q2*R2</f>
        <v>125</v>
      </c>
      <c r="V2" s="22">
        <f>(U2/(U2+S2))*100</f>
        <v>0.79504654202457015</v>
      </c>
      <c r="W2" s="20" t="s">
        <v>31</v>
      </c>
      <c r="X2" s="20" t="s">
        <v>32</v>
      </c>
      <c r="Y2" s="20" t="s">
        <v>33</v>
      </c>
      <c r="Z2" s="20" t="s">
        <v>34</v>
      </c>
      <c r="AA2" s="20">
        <v>85</v>
      </c>
      <c r="AB2" s="20">
        <f>((AA2/100)*5000*60000)</f>
        <v>255000000</v>
      </c>
      <c r="AC2" s="23"/>
      <c r="AD2" s="23"/>
      <c r="AF2" s="24"/>
      <c r="AG2" s="24"/>
    </row>
    <row r="3" spans="1:33" x14ac:dyDescent="0.35">
      <c r="A3" s="2" t="s">
        <v>46</v>
      </c>
      <c r="B3" s="2" t="s">
        <v>50</v>
      </c>
      <c r="C3" s="2" t="s">
        <v>51</v>
      </c>
      <c r="D3" s="2" t="s">
        <v>52</v>
      </c>
      <c r="E3" s="2" t="s">
        <v>5</v>
      </c>
      <c r="F3" s="3">
        <v>18.989999999999998</v>
      </c>
      <c r="G3" s="2">
        <v>19</v>
      </c>
      <c r="H3" s="2">
        <v>2596.73</v>
      </c>
      <c r="I3" s="3">
        <v>2</v>
      </c>
      <c r="J3" s="21">
        <f t="shared" ref="J3:J6" si="0">H3*I3</f>
        <v>5193.46</v>
      </c>
      <c r="K3" s="21">
        <f t="shared" ref="K3:K6" si="1">(H3*I3*40)/1000</f>
        <v>207.73839999999998</v>
      </c>
      <c r="L3" s="21">
        <f t="shared" ref="L3:L6" si="2">0.25*K3</f>
        <v>51.934599999999996</v>
      </c>
      <c r="M3" s="2">
        <v>16</v>
      </c>
      <c r="N3" s="2">
        <v>488</v>
      </c>
      <c r="O3" s="2">
        <v>1685.32</v>
      </c>
      <c r="P3" s="2">
        <v>5544.6</v>
      </c>
      <c r="Q3" s="3">
        <v>10.8</v>
      </c>
      <c r="R3" s="25">
        <v>15</v>
      </c>
      <c r="S3" s="22">
        <f t="shared" ref="S3:S6" si="3">O3*R3</f>
        <v>25279.8</v>
      </c>
      <c r="T3" s="22">
        <f t="shared" ref="T3:T6" si="4">P3*R3</f>
        <v>83169</v>
      </c>
      <c r="U3" s="22">
        <f t="shared" ref="U3:U6" si="5">Q3*R3</f>
        <v>162</v>
      </c>
      <c r="V3" s="22">
        <f t="shared" ref="V3:V6" si="6">(U3/(U3+S3))*100</f>
        <v>0.63674739994811691</v>
      </c>
      <c r="W3" s="2" t="s">
        <v>53</v>
      </c>
      <c r="X3" s="16" t="s">
        <v>57</v>
      </c>
      <c r="Y3" s="16" t="s">
        <v>58</v>
      </c>
      <c r="Z3" s="16" t="s">
        <v>59</v>
      </c>
      <c r="AA3" s="8">
        <v>75</v>
      </c>
      <c r="AB3" s="20">
        <f t="shared" ref="AB3:AB6" si="7">((AA3/100)*5000*60000)</f>
        <v>225000000</v>
      </c>
      <c r="AC3" s="16"/>
      <c r="AE3" s="6"/>
      <c r="AF3" s="6"/>
    </row>
    <row r="4" spans="1:33" x14ac:dyDescent="0.35">
      <c r="A4" s="2" t="s">
        <v>47</v>
      </c>
      <c r="B4" s="2" t="s">
        <v>50</v>
      </c>
      <c r="C4" s="2" t="s">
        <v>51</v>
      </c>
      <c r="D4" s="2" t="s">
        <v>52</v>
      </c>
      <c r="E4" s="2" t="s">
        <v>6</v>
      </c>
      <c r="F4" s="3">
        <v>18.91</v>
      </c>
      <c r="G4" s="2">
        <v>19</v>
      </c>
      <c r="H4" s="2">
        <v>1696.89</v>
      </c>
      <c r="I4" s="3">
        <v>2</v>
      </c>
      <c r="J4" s="21">
        <f t="shared" si="0"/>
        <v>3393.78</v>
      </c>
      <c r="K4" s="21">
        <f t="shared" si="1"/>
        <v>135.75120000000001</v>
      </c>
      <c r="L4" s="21">
        <f t="shared" si="2"/>
        <v>33.937800000000003</v>
      </c>
      <c r="M4" s="2">
        <v>16</v>
      </c>
      <c r="N4" s="2">
        <v>474</v>
      </c>
      <c r="O4" s="2">
        <v>2080.98</v>
      </c>
      <c r="P4" s="2">
        <v>6982.5</v>
      </c>
      <c r="Q4" s="3">
        <v>57.63</v>
      </c>
      <c r="R4" s="25">
        <v>8</v>
      </c>
      <c r="S4" s="22">
        <f t="shared" si="3"/>
        <v>16647.84</v>
      </c>
      <c r="T4" s="22">
        <f t="shared" si="4"/>
        <v>55860</v>
      </c>
      <c r="U4" s="22">
        <f t="shared" si="5"/>
        <v>461.04</v>
      </c>
      <c r="V4" s="22">
        <f t="shared" si="6"/>
        <v>2.6947409766156523</v>
      </c>
      <c r="W4" s="2" t="s">
        <v>54</v>
      </c>
      <c r="X4" s="16" t="s">
        <v>60</v>
      </c>
      <c r="Y4" s="16" t="s">
        <v>61</v>
      </c>
      <c r="Z4" s="16" t="s">
        <v>62</v>
      </c>
      <c r="AA4" s="26">
        <v>75</v>
      </c>
      <c r="AB4" s="20">
        <f t="shared" si="7"/>
        <v>225000000</v>
      </c>
      <c r="AC4" s="16"/>
      <c r="AE4" s="6"/>
      <c r="AF4" s="6"/>
    </row>
    <row r="5" spans="1:33" x14ac:dyDescent="0.35">
      <c r="A5" s="2" t="s">
        <v>48</v>
      </c>
      <c r="B5" s="2" t="s">
        <v>50</v>
      </c>
      <c r="C5" s="2" t="s">
        <v>51</v>
      </c>
      <c r="D5" s="2" t="s">
        <v>52</v>
      </c>
      <c r="E5" s="2" t="s">
        <v>7</v>
      </c>
      <c r="F5" s="3">
        <v>18.36</v>
      </c>
      <c r="G5" s="2">
        <v>18</v>
      </c>
      <c r="H5" s="2">
        <v>1356.52</v>
      </c>
      <c r="I5" s="3">
        <v>2</v>
      </c>
      <c r="J5" s="21">
        <f t="shared" si="0"/>
        <v>2713.04</v>
      </c>
      <c r="K5" s="21">
        <f t="shared" si="1"/>
        <v>108.52160000000001</v>
      </c>
      <c r="L5" s="21">
        <f t="shared" si="2"/>
        <v>27.130400000000002</v>
      </c>
      <c r="M5" s="2">
        <v>16</v>
      </c>
      <c r="N5" s="2">
        <v>478</v>
      </c>
      <c r="O5" s="2">
        <v>1835.34</v>
      </c>
      <c r="P5" s="2">
        <v>6046.1</v>
      </c>
      <c r="Q5" s="3">
        <v>3.29</v>
      </c>
      <c r="R5" s="25">
        <v>5</v>
      </c>
      <c r="S5" s="22">
        <f t="shared" si="3"/>
        <v>9176.6999999999989</v>
      </c>
      <c r="T5" s="22">
        <f t="shared" si="4"/>
        <v>30230.5</v>
      </c>
      <c r="U5" s="22">
        <f t="shared" si="5"/>
        <v>16.45</v>
      </c>
      <c r="V5" s="22">
        <f t="shared" si="6"/>
        <v>0.17893757852313952</v>
      </c>
      <c r="W5" s="2" t="s">
        <v>55</v>
      </c>
      <c r="X5" s="16" t="s">
        <v>63</v>
      </c>
      <c r="Y5" s="16" t="s">
        <v>64</v>
      </c>
      <c r="Z5" s="16" t="s">
        <v>65</v>
      </c>
      <c r="AA5" s="26">
        <v>75</v>
      </c>
      <c r="AB5" s="20">
        <f t="shared" si="7"/>
        <v>225000000</v>
      </c>
      <c r="AC5" s="16"/>
      <c r="AE5" s="6"/>
      <c r="AF5" s="6"/>
    </row>
    <row r="6" spans="1:33" x14ac:dyDescent="0.35">
      <c r="A6" s="2" t="s">
        <v>49</v>
      </c>
      <c r="B6" s="2" t="s">
        <v>50</v>
      </c>
      <c r="C6" s="2" t="s">
        <v>51</v>
      </c>
      <c r="D6" s="2" t="s">
        <v>52</v>
      </c>
      <c r="E6" s="2" t="s">
        <v>8</v>
      </c>
      <c r="F6" s="2">
        <v>18.690000000000001</v>
      </c>
      <c r="G6" s="2">
        <v>18</v>
      </c>
      <c r="H6" s="2">
        <v>1620.77</v>
      </c>
      <c r="I6" s="3">
        <v>2</v>
      </c>
      <c r="J6" s="21">
        <f t="shared" si="0"/>
        <v>3241.54</v>
      </c>
      <c r="K6" s="21">
        <f t="shared" si="1"/>
        <v>129.66159999999999</v>
      </c>
      <c r="L6" s="21">
        <f t="shared" si="2"/>
        <v>32.415399999999998</v>
      </c>
      <c r="M6" s="2">
        <v>16</v>
      </c>
      <c r="N6" s="2">
        <v>471</v>
      </c>
      <c r="O6" s="2">
        <v>2775.73</v>
      </c>
      <c r="P6" s="2">
        <v>9263.2000000000007</v>
      </c>
      <c r="Q6" s="2">
        <v>17.36</v>
      </c>
      <c r="R6" s="2">
        <v>2</v>
      </c>
      <c r="S6" s="22">
        <f t="shared" si="3"/>
        <v>5551.46</v>
      </c>
      <c r="T6" s="22">
        <f t="shared" si="4"/>
        <v>18526.400000000001</v>
      </c>
      <c r="U6" s="22">
        <f t="shared" si="5"/>
        <v>34.72</v>
      </c>
      <c r="V6" s="22">
        <f t="shared" si="6"/>
        <v>0.62153385676795236</v>
      </c>
      <c r="W6" s="2" t="s">
        <v>56</v>
      </c>
      <c r="X6" s="16" t="s">
        <v>66</v>
      </c>
      <c r="Y6" s="16" t="s">
        <v>67</v>
      </c>
      <c r="Z6" s="16" t="s">
        <v>68</v>
      </c>
      <c r="AA6" s="26">
        <v>75</v>
      </c>
      <c r="AB6" s="20">
        <f t="shared" si="7"/>
        <v>225000000</v>
      </c>
    </row>
    <row r="9" spans="1:33" s="16" customFormat="1" x14ac:dyDescent="0.35">
      <c r="A9" s="17"/>
      <c r="B9" s="18"/>
      <c r="C9" s="18"/>
      <c r="D9" s="18"/>
      <c r="E9" s="18"/>
      <c r="F9" s="18"/>
      <c r="G9" s="18"/>
      <c r="H9" s="17"/>
      <c r="I9" s="19"/>
      <c r="J9" s="17"/>
      <c r="K9" s="17"/>
      <c r="L9" s="19"/>
      <c r="M9" s="19"/>
      <c r="N9" s="17"/>
      <c r="R9" s="17"/>
      <c r="W9" s="17"/>
      <c r="X9" s="17"/>
      <c r="Y9" s="17"/>
      <c r="Z9" s="17"/>
      <c r="AA9" s="17"/>
    </row>
    <row r="153" ht="17" customHeight="1" x14ac:dyDescent="0.35"/>
  </sheetData>
  <phoneticPr fontId="9" type="noConversion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="50" workbookViewId="0">
      <selection activeCell="H16" sqref="H16"/>
    </sheetView>
  </sheetViews>
  <sheetFormatPr defaultColWidth="11.1640625" defaultRowHeight="15.5" x14ac:dyDescent="0.35"/>
  <cols>
    <col min="1" max="1" width="17.1640625" bestFit="1" customWidth="1"/>
    <col min="2" max="2" width="146" bestFit="1" customWidth="1"/>
    <col min="4" max="4" width="34" customWidth="1"/>
  </cols>
  <sheetData>
    <row r="1" spans="1:4" s="4" customFormat="1" x14ac:dyDescent="0.35">
      <c r="A1" s="9" t="s">
        <v>20</v>
      </c>
      <c r="B1" s="9" t="s">
        <v>21</v>
      </c>
      <c r="C1" s="9" t="s">
        <v>22</v>
      </c>
      <c r="D1" s="10" t="s">
        <v>23</v>
      </c>
    </row>
    <row r="2" spans="1:4" x14ac:dyDescent="0.35">
      <c r="A2" s="2" t="s">
        <v>5</v>
      </c>
      <c r="B2" s="11" t="s">
        <v>46</v>
      </c>
      <c r="C2" s="12">
        <v>18.989999999999998</v>
      </c>
      <c r="D2" s="2" t="s">
        <v>69</v>
      </c>
    </row>
    <row r="3" spans="1:4" x14ac:dyDescent="0.35">
      <c r="A3" s="2" t="s">
        <v>6</v>
      </c>
      <c r="B3" s="2" t="s">
        <v>47</v>
      </c>
      <c r="C3" s="3">
        <v>18.91</v>
      </c>
      <c r="D3" s="2" t="s">
        <v>69</v>
      </c>
    </row>
    <row r="4" spans="1:4" x14ac:dyDescent="0.35">
      <c r="A4" s="2" t="s">
        <v>7</v>
      </c>
      <c r="B4" s="2" t="s">
        <v>48</v>
      </c>
      <c r="C4" s="3">
        <v>18.36</v>
      </c>
      <c r="D4" s="2" t="s">
        <v>69</v>
      </c>
    </row>
    <row r="5" spans="1:4" x14ac:dyDescent="0.35">
      <c r="A5" s="2" t="s">
        <v>8</v>
      </c>
      <c r="B5" s="2" t="s">
        <v>49</v>
      </c>
      <c r="C5" s="3">
        <v>18.64</v>
      </c>
      <c r="D5" s="2" t="s">
        <v>69</v>
      </c>
    </row>
    <row r="6" spans="1:4" x14ac:dyDescent="0.35">
      <c r="A6" s="2" t="s">
        <v>24</v>
      </c>
      <c r="B6" s="2" t="s">
        <v>26</v>
      </c>
      <c r="C6" s="2" t="s">
        <v>25</v>
      </c>
      <c r="D6" s="2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N3:X31"/>
  <sheetViews>
    <sheetView topLeftCell="A3" zoomScale="50" zoomScaleNormal="118" workbookViewId="0">
      <selection activeCell="J28" sqref="J28"/>
    </sheetView>
  </sheetViews>
  <sheetFormatPr defaultColWidth="11.1640625" defaultRowHeight="15.5" x14ac:dyDescent="0.35"/>
  <cols>
    <col min="13" max="13" width="8.83203125" customWidth="1"/>
    <col min="14" max="14" width="35.1640625" customWidth="1"/>
    <col min="20" max="20" width="16.33203125" customWidth="1"/>
  </cols>
  <sheetData>
    <row r="3" spans="14:24" ht="46.5" x14ac:dyDescent="0.35">
      <c r="N3" s="1" t="s">
        <v>0</v>
      </c>
      <c r="O3" s="1" t="s">
        <v>1</v>
      </c>
      <c r="P3" s="1" t="s">
        <v>2</v>
      </c>
      <c r="Q3" s="1" t="s">
        <v>3</v>
      </c>
      <c r="R3" s="1" t="s">
        <v>4</v>
      </c>
      <c r="S3" s="1" t="s">
        <v>9</v>
      </c>
      <c r="T3" s="1" t="s">
        <v>10</v>
      </c>
      <c r="U3" s="5" t="s">
        <v>35</v>
      </c>
      <c r="V3" s="7" t="s">
        <v>38</v>
      </c>
      <c r="W3" s="7" t="s">
        <v>37</v>
      </c>
      <c r="X3" s="5" t="s">
        <v>36</v>
      </c>
    </row>
    <row r="4" spans="14:24" x14ac:dyDescent="0.35">
      <c r="N4" s="14" t="s">
        <v>30</v>
      </c>
      <c r="O4" s="14" t="s">
        <v>28</v>
      </c>
      <c r="P4" s="14" t="s">
        <v>29</v>
      </c>
      <c r="Q4" s="14" t="s">
        <v>27</v>
      </c>
      <c r="R4" s="14" t="s">
        <v>5</v>
      </c>
      <c r="S4" s="15">
        <v>15.91</v>
      </c>
      <c r="T4" s="14">
        <v>16</v>
      </c>
      <c r="U4" s="14">
        <v>1950.02</v>
      </c>
      <c r="V4" s="15">
        <v>9</v>
      </c>
      <c r="W4" s="15">
        <f>U4*V4</f>
        <v>17550.18</v>
      </c>
      <c r="X4" s="15">
        <f>(U4*V4*40)/1000</f>
        <v>702.0071999999999</v>
      </c>
    </row>
    <row r="5" spans="14:24" x14ac:dyDescent="0.35">
      <c r="N5" s="2" t="s">
        <v>46</v>
      </c>
      <c r="O5" s="2" t="s">
        <v>50</v>
      </c>
      <c r="P5" s="2" t="s">
        <v>51</v>
      </c>
      <c r="Q5" s="2" t="s">
        <v>52</v>
      </c>
      <c r="R5" s="2" t="s">
        <v>5</v>
      </c>
      <c r="S5" s="3">
        <v>18.989999999999998</v>
      </c>
      <c r="T5" s="2">
        <v>19</v>
      </c>
      <c r="U5" s="2">
        <v>2596.73</v>
      </c>
      <c r="V5" s="3">
        <v>2</v>
      </c>
      <c r="W5" s="21">
        <f t="shared" ref="W5:W8" si="0">U5*V5</f>
        <v>5193.46</v>
      </c>
      <c r="X5" s="21">
        <f t="shared" ref="X5:X8" si="1">(U5*V5*40)/1000</f>
        <v>207.73839999999998</v>
      </c>
    </row>
    <row r="6" spans="14:24" x14ac:dyDescent="0.35">
      <c r="N6" s="2" t="s">
        <v>47</v>
      </c>
      <c r="O6" s="2" t="s">
        <v>50</v>
      </c>
      <c r="P6" s="2" t="s">
        <v>51</v>
      </c>
      <c r="Q6" s="2" t="s">
        <v>52</v>
      </c>
      <c r="R6" s="2" t="s">
        <v>6</v>
      </c>
      <c r="S6" s="3">
        <v>18.91</v>
      </c>
      <c r="T6" s="2">
        <v>19</v>
      </c>
      <c r="U6" s="2">
        <v>1696.89</v>
      </c>
      <c r="V6" s="3">
        <v>2</v>
      </c>
      <c r="W6" s="21">
        <f t="shared" si="0"/>
        <v>3393.78</v>
      </c>
      <c r="X6" s="21">
        <f t="shared" si="1"/>
        <v>135.75120000000001</v>
      </c>
    </row>
    <row r="7" spans="14:24" x14ac:dyDescent="0.35">
      <c r="N7" s="2" t="s">
        <v>48</v>
      </c>
      <c r="O7" s="2" t="s">
        <v>50</v>
      </c>
      <c r="P7" s="2" t="s">
        <v>51</v>
      </c>
      <c r="Q7" s="2" t="s">
        <v>52</v>
      </c>
      <c r="R7" s="2" t="s">
        <v>7</v>
      </c>
      <c r="S7" s="3">
        <v>18.36</v>
      </c>
      <c r="T7" s="2">
        <v>18</v>
      </c>
      <c r="U7" s="2">
        <v>1356.52</v>
      </c>
      <c r="V7" s="3">
        <v>2</v>
      </c>
      <c r="W7" s="21">
        <f t="shared" si="0"/>
        <v>2713.04</v>
      </c>
      <c r="X7" s="21">
        <f t="shared" si="1"/>
        <v>108.52160000000001</v>
      </c>
    </row>
    <row r="8" spans="14:24" x14ac:dyDescent="0.35">
      <c r="N8" s="2" t="s">
        <v>49</v>
      </c>
      <c r="O8" s="2" t="s">
        <v>50</v>
      </c>
      <c r="P8" s="2" t="s">
        <v>51</v>
      </c>
      <c r="Q8" s="2" t="s">
        <v>52</v>
      </c>
      <c r="R8" s="2" t="s">
        <v>8</v>
      </c>
      <c r="S8" s="2">
        <v>18.690000000000001</v>
      </c>
      <c r="T8" s="2">
        <v>18</v>
      </c>
      <c r="U8" s="2">
        <v>1620.77</v>
      </c>
      <c r="V8" s="3">
        <v>2</v>
      </c>
      <c r="W8" s="21">
        <f t="shared" si="0"/>
        <v>3241.54</v>
      </c>
      <c r="X8" s="21">
        <f t="shared" si="1"/>
        <v>129.66159999999999</v>
      </c>
    </row>
    <row r="11" spans="14:24" x14ac:dyDescent="0.35">
      <c r="N11" s="13"/>
    </row>
    <row r="28" spans="21:21" x14ac:dyDescent="0.35">
      <c r="U28" s="8"/>
    </row>
    <row r="29" spans="21:21" x14ac:dyDescent="0.35">
      <c r="U29" s="8"/>
    </row>
    <row r="30" spans="21:21" x14ac:dyDescent="0.35">
      <c r="U30" s="8"/>
    </row>
    <row r="31" spans="21:21" x14ac:dyDescent="0.35">
      <c r="U31" s="8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1A6-084A-884D-A0A5-4431E3FDDF37}">
  <dimension ref="B5:C8"/>
  <sheetViews>
    <sheetView tabSelected="1" zoomScale="50" zoomScaleNormal="96" workbookViewId="0">
      <selection activeCell="R29" sqref="R29"/>
    </sheetView>
  </sheetViews>
  <sheetFormatPr defaultColWidth="11.1640625" defaultRowHeight="15.5" x14ac:dyDescent="0.35"/>
  <cols>
    <col min="2" max="2" width="19.33203125" bestFit="1" customWidth="1"/>
  </cols>
  <sheetData>
    <row r="5" spans="2:3" x14ac:dyDescent="0.35">
      <c r="B5" s="2" t="s">
        <v>46</v>
      </c>
      <c r="C5" t="s">
        <v>70</v>
      </c>
    </row>
    <row r="6" spans="2:3" x14ac:dyDescent="0.35">
      <c r="B6" s="2" t="s">
        <v>47</v>
      </c>
      <c r="C6" t="s">
        <v>71</v>
      </c>
    </row>
    <row r="7" spans="2:3" x14ac:dyDescent="0.35">
      <c r="B7" s="2" t="s">
        <v>48</v>
      </c>
      <c r="C7" t="s">
        <v>73</v>
      </c>
    </row>
    <row r="8" spans="2:3" x14ac:dyDescent="0.35">
      <c r="B8" s="2" t="s">
        <v>49</v>
      </c>
      <c r="C8" t="s">
        <v>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qPCR</vt:lpstr>
      <vt:lpstr>cDNA Agilent</vt:lpstr>
      <vt:lpstr>Lib Agilent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Maynard</dc:creator>
  <cp:lastModifiedBy>Kelsey Montgomery</cp:lastModifiedBy>
  <cp:lastPrinted>2021-11-03T13:38:35Z</cp:lastPrinted>
  <dcterms:created xsi:type="dcterms:W3CDTF">2020-07-21T18:20:54Z</dcterms:created>
  <dcterms:modified xsi:type="dcterms:W3CDTF">2024-12-16T19:56:38Z</dcterms:modified>
</cp:coreProperties>
</file>