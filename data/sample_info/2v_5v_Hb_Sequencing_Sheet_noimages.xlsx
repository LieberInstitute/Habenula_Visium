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yan.miller/Documents/projects/hb-projector/"/>
    </mc:Choice>
  </mc:AlternateContent>
  <xr:revisionPtr revIDLastSave="0" documentId="8_{0CA308F5-63B2-8B40-BBA3-5AF4C77F5F08}" xr6:coauthVersionLast="47" xr6:coauthVersionMax="47" xr10:uidLastSave="{00000000-0000-0000-0000-000000000000}"/>
  <bookViews>
    <workbookView xWindow="0" yWindow="760" windowWidth="29520" windowHeight="18120" tabRatio="500" xr2:uid="{00000000-000D-0000-FFFF-FFFF00000000}"/>
  </bookViews>
  <sheets>
    <sheet name="Summary" sheetId="1" r:id="rId1"/>
    <sheet name="qPCR" sheetId="2" r:id="rId2"/>
    <sheet name="cDNA Agilent" sheetId="3" r:id="rId3"/>
    <sheet name="Lib Agilen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7" i="5" l="1"/>
  <c r="J6" i="5"/>
  <c r="J5" i="5"/>
  <c r="J4" i="5"/>
  <c r="J3" i="5"/>
  <c r="X8" i="3"/>
  <c r="W8" i="3"/>
  <c r="X7" i="3"/>
  <c r="W7" i="3"/>
  <c r="X6" i="3"/>
  <c r="W6" i="3"/>
  <c r="X5" i="3"/>
  <c r="W5" i="3"/>
  <c r="W2" i="1"/>
  <c r="W3" i="1"/>
  <c r="W4" i="1"/>
  <c r="W5" i="1"/>
  <c r="Q2" i="1"/>
  <c r="Q3" i="1"/>
  <c r="Q4" i="1"/>
  <c r="Q5" i="1"/>
  <c r="J2" i="1"/>
  <c r="K2" i="1"/>
  <c r="L2" i="1" s="1"/>
  <c r="J3" i="1"/>
  <c r="K3" i="1"/>
  <c r="L3" i="1" s="1"/>
  <c r="J4" i="1"/>
  <c r="K4" i="1"/>
  <c r="L4" i="1" s="1"/>
  <c r="J5" i="1"/>
  <c r="K5" i="1"/>
  <c r="L5" i="1" s="1"/>
  <c r="X4" i="3" l="1"/>
  <c r="W4" i="3"/>
</calcChain>
</file>

<file path=xl/sharedStrings.xml><?xml version="1.0" encoding="utf-8"?>
<sst xmlns="http://schemas.openxmlformats.org/spreadsheetml/2006/main" count="154" uniqueCount="64">
  <si>
    <t>Sample #</t>
  </si>
  <si>
    <t>Tissue</t>
  </si>
  <si>
    <t>Brain</t>
  </si>
  <si>
    <t>Slide #</t>
  </si>
  <si>
    <t>Array #</t>
  </si>
  <si>
    <t>A1</t>
  </si>
  <si>
    <t>B1</t>
  </si>
  <si>
    <t>C1</t>
  </si>
  <si>
    <t>D1</t>
  </si>
  <si>
    <t>Ct</t>
  </si>
  <si>
    <t>cDNA Amp Cycle</t>
  </si>
  <si>
    <t>cDNA Input</t>
  </si>
  <si>
    <t>SI cycles</t>
  </si>
  <si>
    <t>index_name</t>
  </si>
  <si>
    <t>index(i7)</t>
  </si>
  <si>
    <t>index2_workflow_a(i5)</t>
  </si>
  <si>
    <t>index2_workflow_b(i5)</t>
  </si>
  <si>
    <t>Ave frag length</t>
  </si>
  <si>
    <t>% Coverage Array</t>
  </si>
  <si>
    <t xml:space="preserve">Est Read Pairs </t>
  </si>
  <si>
    <t>Pos</t>
  </si>
  <si>
    <t>Name</t>
  </si>
  <si>
    <t>Ct FAM</t>
  </si>
  <si>
    <t>Note</t>
  </si>
  <si>
    <t>E1</t>
  </si>
  <si>
    <t>N/A</t>
  </si>
  <si>
    <t>negative control</t>
  </si>
  <si>
    <t>~33% of the peak fluorescence value</t>
  </si>
  <si>
    <t>V12N28-334</t>
  </si>
  <si>
    <t>HYP</t>
  </si>
  <si>
    <t>Hs_Br6197</t>
  </si>
  <si>
    <t>HYP_1v_hrd</t>
  </si>
  <si>
    <t>SI-TT-G9</t>
  </si>
  <si>
    <t>Agilent [cDNA] pg/ul</t>
  </si>
  <si>
    <t>Total cDNA ng yield</t>
  </si>
  <si>
    <t>Agilent [lib] pg/ul</t>
  </si>
  <si>
    <t>Final [cDNA] pg/ul</t>
  </si>
  <si>
    <t>Final [lib] pg/ul</t>
  </si>
  <si>
    <t>Dilution Factor</t>
  </si>
  <si>
    <t>2v_Hb_KDM</t>
  </si>
  <si>
    <t>3v_Hb_KDM</t>
  </si>
  <si>
    <t>4v_Hb_KDM</t>
  </si>
  <si>
    <t>5v_Hb_KDM</t>
  </si>
  <si>
    <t>Hb</t>
  </si>
  <si>
    <t>Hs_Br8518_PR5</t>
  </si>
  <si>
    <t>Hs_Br8518_AR6</t>
  </si>
  <si>
    <t>V13B23-285</t>
  </si>
  <si>
    <t>SI-TT-E7</t>
  </si>
  <si>
    <t>SI-TT-F7</t>
  </si>
  <si>
    <t>SI-TT-G7</t>
  </si>
  <si>
    <t>SI-TT-H7</t>
  </si>
  <si>
    <t>ATCGAACACA</t>
  </si>
  <si>
    <t>TGTGTTCGAT</t>
  </si>
  <si>
    <t>ACCTCGAGCT</t>
  </si>
  <si>
    <t>TTTGGCCGAA</t>
  </si>
  <si>
    <t>TTCGGCCAAA</t>
  </si>
  <si>
    <t>GTTTCACGAT</t>
  </si>
  <si>
    <t>TAAGCTCATT</t>
  </si>
  <si>
    <t>AATGAGCTTA</t>
  </si>
  <si>
    <t>AATGTATCCA</t>
  </si>
  <si>
    <t>CTGTGCATGA</t>
  </si>
  <si>
    <t>TCATGCACAG</t>
  </si>
  <si>
    <t>GTCCTTCGGC</t>
  </si>
  <si>
    <t>Br8518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</si>
</sst>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left"/>
    </xf>
    <xf numFmtId="0" fontId="6" fillId="2" borderId="4" xfId="0" applyFont="1" applyFill="1" applyBorder="1" applyAlignment="1">
      <alignment horizontal="center"/>
    </xf>
    <xf numFmtId="2" fontId="6" fillId="2" borderId="4" xfId="0" applyNumberFormat="1" applyFont="1" applyFill="1" applyBorder="1" applyAlignment="1">
      <alignment horizontal="center"/>
    </xf>
    <xf numFmtId="4" fontId="6" fillId="2" borderId="5" xfId="0" applyNumberFormat="1" applyFont="1" applyFill="1" applyBorder="1" applyAlignment="1">
      <alignment horizontal="center"/>
    </xf>
    <xf numFmtId="2" fontId="0" fillId="0" borderId="1" xfId="7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8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  <cellStyle name="Percent" xfId="7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1047751</xdr:colOff>
      <xdr:row>9</xdr:row>
      <xdr:rowOff>194572</xdr:rowOff>
    </xdr:from>
    <xdr:to>
      <xdr:col>1</xdr:col>
      <xdr:colOff>7086601</xdr:colOff>
      <xdr:row>26</xdr:row>
      <xdr:rowOff>142111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D5902C-D76F-4B9D-8FB4-B37725234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6" y="1994797"/>
          <a:ext cx="6038850" cy="3347964"/>
        </a:xfrm>
        <a:prstGeom prst="rect">
          <a:avLst/>
        </a:prstGeom>
      </xdr:spPr>
    </xdr:pic>
    <xdr:clientData/>
  </xdr:twoCellAnchor>
  <xdr:twoCellAnchor editAs="oneCell">
    <xdr:from>
      <xdr:col>1</xdr:col>
      <xdr:colOff>7896225</xdr:colOff>
      <xdr:row>10</xdr:row>
      <xdr:rowOff>47624</xdr:rowOff>
    </xdr:from>
    <xdr:to>
      <xdr:col>3</xdr:col>
      <xdr:colOff>2099769</xdr:colOff>
      <xdr:row>26</xdr:row>
      <xdr:rowOff>151635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EDC9CA1-834B-4288-BC04-D6501226B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1150" y="2047874"/>
          <a:ext cx="6176469" cy="3304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614904</xdr:colOff>
      <xdr:row>1</xdr:row>
      <xdr:rowOff>84399</xdr:rowOff>
    </xdr:from>
    <xdr:to>
      <xdr:col>12</xdr:col>
      <xdr:colOff>168797</xdr:colOff>
      <xdr:row>48</xdr:row>
      <xdr:rowOff>71505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575841-F17B-4FFF-80FE-AC00C7FC6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904" y="289367"/>
          <a:ext cx="9681741" cy="10018499"/>
        </a:xfrm>
        <a:prstGeom prst="rect">
          <a:avLst/>
        </a:prstGeom>
      </xdr:spPr>
    </xdr:pic>
    <xdr:clientData/>
  </xdr:twoCellAnchor>
  <xdr:twoCellAnchor>
    <xdr:from>
      <xdr:col>3</xdr:col>
      <xdr:colOff>409937</xdr:colOff>
      <xdr:row>4</xdr:row>
      <xdr:rowOff>144684</xdr:rowOff>
    </xdr:from>
    <xdr:to>
      <xdr:col>4</xdr:col>
      <xdr:colOff>783703</xdr:colOff>
      <xdr:row>23</xdr:row>
      <xdr:rowOff>168797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3328543-3A06-4CE3-81FA-D26AA0B0FBB7}"/>
            </a:ext>
          </a:extLst>
        </xdr:cNvPr>
        <xdr:cNvSpPr/>
      </xdr:nvSpPr>
      <xdr:spPr>
        <a:xfrm>
          <a:off x="2941899" y="1362437"/>
          <a:ext cx="1217753" cy="39185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301426</xdr:colOff>
      <xdr:row>31</xdr:row>
      <xdr:rowOff>156743</xdr:rowOff>
    </xdr:from>
    <xdr:to>
      <xdr:col>11</xdr:col>
      <xdr:colOff>675189</xdr:colOff>
      <xdr:row>39</xdr:row>
      <xdr:rowOff>156744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A795F6-8B18-4171-BF10-D559776DA06E}"/>
            </a:ext>
          </a:extLst>
        </xdr:cNvPr>
        <xdr:cNvSpPr/>
      </xdr:nvSpPr>
      <xdr:spPr>
        <a:xfrm rot="5400000">
          <a:off x="5998339" y="4587678"/>
          <a:ext cx="1639748" cy="62816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562339</xdr:colOff>
      <xdr:row>39</xdr:row>
      <xdr:rowOff>164460</xdr:rowOff>
    </xdr:from>
    <xdr:to>
      <xdr:col>8</xdr:col>
      <xdr:colOff>0</xdr:colOff>
      <xdr:row>47</xdr:row>
      <xdr:rowOff>164462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598404F-173A-431A-9CF6-49F34A42D44D}"/>
            </a:ext>
          </a:extLst>
        </xdr:cNvPr>
        <xdr:cNvSpPr/>
      </xdr:nvSpPr>
      <xdr:spPr>
        <a:xfrm rot="5400000">
          <a:off x="2837245" y="6281200"/>
          <a:ext cx="1639748" cy="618956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1061642</xdr:colOff>
      <xdr:row>7</xdr:row>
      <xdr:rowOff>132661</xdr:rowOff>
    </xdr:from>
    <xdr:to>
      <xdr:col>9</xdr:col>
      <xdr:colOff>386954</xdr:colOff>
      <xdr:row>44</xdr:row>
      <xdr:rowOff>110419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6EE777-4D43-4E50-BF22-5BF8A27E4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1" y="1720161"/>
          <a:ext cx="7024687" cy="7319946"/>
        </a:xfrm>
        <a:prstGeom prst="rect">
          <a:avLst/>
        </a:prstGeom>
      </xdr:spPr>
    </xdr:pic>
    <xdr:clientData/>
  </xdr:twoCellAnchor>
  <xdr:twoCellAnchor>
    <xdr:from>
      <xdr:col>3</xdr:col>
      <xdr:colOff>406797</xdr:colOff>
      <xdr:row>11</xdr:row>
      <xdr:rowOff>158750</xdr:rowOff>
    </xdr:from>
    <xdr:to>
      <xdr:col>4</xdr:col>
      <xdr:colOff>178593</xdr:colOff>
      <xdr:row>26</xdr:row>
      <xdr:rowOff>89296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BE34487-CCF5-4C8C-BE52-50A7FEA4E9EF}"/>
            </a:ext>
          </a:extLst>
        </xdr:cNvPr>
        <xdr:cNvSpPr/>
      </xdr:nvSpPr>
      <xdr:spPr>
        <a:xfrm>
          <a:off x="3571875" y="2540000"/>
          <a:ext cx="932656" cy="290710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1007070</xdr:colOff>
      <xdr:row>32</xdr:row>
      <xdr:rowOff>114102</xdr:rowOff>
    </xdr:from>
    <xdr:to>
      <xdr:col>9</xdr:col>
      <xdr:colOff>148828</xdr:colOff>
      <xdr:row>38</xdr:row>
      <xdr:rowOff>89299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D16C4C3-7FB3-410E-B775-A2737877287A}"/>
            </a:ext>
          </a:extLst>
        </xdr:cNvPr>
        <xdr:cNvSpPr/>
      </xdr:nvSpPr>
      <xdr:spPr>
        <a:xfrm rot="5400000">
          <a:off x="5848944" y="4985744"/>
          <a:ext cx="1165822" cy="451941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1070173</xdr:colOff>
      <xdr:row>38</xdr:row>
      <xdr:rowOff>97830</xdr:rowOff>
    </xdr:from>
    <xdr:to>
      <xdr:col>6</xdr:col>
      <xdr:colOff>420290</xdr:colOff>
      <xdr:row>44</xdr:row>
      <xdr:rowOff>73027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8916577-00D0-4C32-AB98-B2BDD2318FBF}"/>
            </a:ext>
          </a:extLst>
        </xdr:cNvPr>
        <xdr:cNvSpPr/>
      </xdr:nvSpPr>
      <xdr:spPr>
        <a:xfrm rot="5400000">
          <a:off x="3590328" y="6160097"/>
          <a:ext cx="1165822" cy="451941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2"/>
  <sheetViews>
    <sheetView tabSelected="1" zoomScale="96" zoomScaleNormal="96" workbookViewId="0">
      <pane ySplit="1" topLeftCell="A2" activePane="bottomLeft" state="frozen"/>
      <selection pane="bottomLeft" activeCell="N11" sqref="N11"/>
    </sheetView>
  </sheetViews>
  <sheetFormatPr baseColWidth="10" defaultColWidth="11.1640625" defaultRowHeight="16" x14ac:dyDescent="0.2"/>
  <cols>
    <col min="1" max="1" width="18.1640625" style="9" customWidth="1"/>
    <col min="2" max="2" width="12" style="9" bestFit="1" customWidth="1"/>
    <col min="3" max="3" width="16.6640625" style="9" bestFit="1" customWidth="1"/>
    <col min="4" max="4" width="12" style="9" bestFit="1" customWidth="1"/>
    <col min="5" max="6" width="13" style="9" bestFit="1" customWidth="1"/>
    <col min="7" max="7" width="14.83203125" style="9" customWidth="1"/>
    <col min="8" max="8" width="13.1640625" style="9" customWidth="1"/>
    <col min="9" max="10" width="13.1640625" style="11" customWidth="1"/>
    <col min="11" max="11" width="14" style="9" customWidth="1"/>
    <col min="12" max="12" width="11.1640625" style="11"/>
    <col min="13" max="13" width="12.1640625" style="9" bestFit="1" customWidth="1"/>
    <col min="14" max="14" width="16.83203125" style="9" customWidth="1"/>
    <col min="15" max="15" width="12.33203125" style="9" customWidth="1"/>
    <col min="16" max="16" width="15.5" style="9" customWidth="1"/>
    <col min="17" max="17" width="16.83203125" style="9" customWidth="1"/>
    <col min="18" max="18" width="11.1640625" style="9"/>
    <col min="19" max="19" width="14.83203125" style="9" customWidth="1"/>
    <col min="20" max="20" width="21.33203125" style="9" customWidth="1"/>
    <col min="21" max="21" width="20.33203125" style="9" customWidth="1"/>
    <col min="22" max="22" width="15.83203125" style="9" customWidth="1"/>
    <col min="23" max="23" width="15.1640625" style="9" customWidth="1"/>
    <col min="24" max="16384" width="11.1640625" style="9"/>
  </cols>
  <sheetData>
    <row r="1" spans="1:28" s="5" customFormat="1" ht="3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9</v>
      </c>
      <c r="G1" s="5" t="s">
        <v>10</v>
      </c>
      <c r="H1" s="5" t="s">
        <v>33</v>
      </c>
      <c r="I1" s="7" t="s">
        <v>38</v>
      </c>
      <c r="J1" s="7" t="s">
        <v>36</v>
      </c>
      <c r="K1" s="5" t="s">
        <v>34</v>
      </c>
      <c r="L1" s="7" t="s">
        <v>11</v>
      </c>
      <c r="M1" s="5" t="s">
        <v>12</v>
      </c>
      <c r="N1" s="5" t="s">
        <v>17</v>
      </c>
      <c r="O1" s="5" t="s">
        <v>35</v>
      </c>
      <c r="P1" s="5" t="s">
        <v>38</v>
      </c>
      <c r="Q1" s="5" t="s">
        <v>37</v>
      </c>
      <c r="R1" s="12" t="s">
        <v>13</v>
      </c>
      <c r="S1" s="12" t="s">
        <v>14</v>
      </c>
      <c r="T1" s="12" t="s">
        <v>15</v>
      </c>
      <c r="U1" s="12" t="s">
        <v>16</v>
      </c>
      <c r="V1" s="5" t="s">
        <v>18</v>
      </c>
      <c r="W1" s="5" t="s">
        <v>19</v>
      </c>
    </row>
    <row r="2" spans="1:28" x14ac:dyDescent="0.2">
      <c r="A2" s="2" t="s">
        <v>39</v>
      </c>
      <c r="B2" s="2" t="s">
        <v>43</v>
      </c>
      <c r="C2" s="6" t="s">
        <v>63</v>
      </c>
      <c r="D2" s="2" t="s">
        <v>46</v>
      </c>
      <c r="E2" s="2" t="s">
        <v>5</v>
      </c>
      <c r="F2" s="3">
        <v>16.36</v>
      </c>
      <c r="G2" s="2">
        <v>16</v>
      </c>
      <c r="H2" s="2">
        <v>997.39</v>
      </c>
      <c r="I2" s="3">
        <v>7</v>
      </c>
      <c r="J2" s="19">
        <f t="shared" ref="J2:J5" si="0">H2*I2</f>
        <v>6981.73</v>
      </c>
      <c r="K2" s="19">
        <f t="shared" ref="K2:K5" si="1">(H2*I2*40)/1000</f>
        <v>279.26919999999996</v>
      </c>
      <c r="L2" s="19">
        <f t="shared" ref="L2:L5" si="2">0.25*K2</f>
        <v>69.817299999999989</v>
      </c>
      <c r="M2" s="2">
        <v>16</v>
      </c>
      <c r="N2" s="8">
        <v>478</v>
      </c>
      <c r="O2" s="2">
        <v>1491.85</v>
      </c>
      <c r="P2" s="3">
        <v>5</v>
      </c>
      <c r="Q2" s="20">
        <f t="shared" ref="Q2:Q5" si="3">O2*P2</f>
        <v>7459.25</v>
      </c>
      <c r="R2" s="2" t="s">
        <v>47</v>
      </c>
      <c r="S2" s="2" t="s">
        <v>62</v>
      </c>
      <c r="T2" s="2" t="s">
        <v>61</v>
      </c>
      <c r="U2" s="2" t="s">
        <v>60</v>
      </c>
      <c r="V2" s="2">
        <v>80</v>
      </c>
      <c r="W2" s="21">
        <f t="shared" ref="W2:W5" si="4">((V2/100)*5000*60000)</f>
        <v>240000000</v>
      </c>
      <c r="X2"/>
      <c r="Y2"/>
      <c r="AA2" s="10"/>
      <c r="AB2" s="10"/>
    </row>
    <row r="3" spans="1:28" x14ac:dyDescent="0.2">
      <c r="A3" s="2" t="s">
        <v>40</v>
      </c>
      <c r="B3" s="2" t="s">
        <v>43</v>
      </c>
      <c r="C3" s="6" t="s">
        <v>63</v>
      </c>
      <c r="D3" s="2" t="s">
        <v>46</v>
      </c>
      <c r="E3" s="2" t="s">
        <v>6</v>
      </c>
      <c r="F3" s="3">
        <v>16.73</v>
      </c>
      <c r="G3" s="2">
        <v>17</v>
      </c>
      <c r="H3" s="2">
        <v>624.49</v>
      </c>
      <c r="I3" s="3">
        <v>8</v>
      </c>
      <c r="J3" s="19">
        <f t="shared" si="0"/>
        <v>4995.92</v>
      </c>
      <c r="K3" s="19">
        <f t="shared" si="1"/>
        <v>199.83679999999998</v>
      </c>
      <c r="L3" s="19">
        <f t="shared" si="2"/>
        <v>49.959199999999996</v>
      </c>
      <c r="M3" s="2">
        <v>17</v>
      </c>
      <c r="N3" s="8">
        <v>465</v>
      </c>
      <c r="O3" s="2">
        <v>1856.13</v>
      </c>
      <c r="P3" s="3">
        <v>11</v>
      </c>
      <c r="Q3" s="20">
        <f t="shared" si="3"/>
        <v>20417.43</v>
      </c>
      <c r="R3" s="2" t="s">
        <v>48</v>
      </c>
      <c r="S3" s="2" t="s">
        <v>59</v>
      </c>
      <c r="T3" s="2" t="s">
        <v>58</v>
      </c>
      <c r="U3" s="2" t="s">
        <v>57</v>
      </c>
      <c r="V3" s="2">
        <v>75</v>
      </c>
      <c r="W3" s="21">
        <f t="shared" si="4"/>
        <v>225000000</v>
      </c>
      <c r="X3"/>
      <c r="Y3"/>
      <c r="AA3" s="10"/>
      <c r="AB3" s="10"/>
    </row>
    <row r="4" spans="1:28" x14ac:dyDescent="0.2">
      <c r="A4" s="6" t="s">
        <v>41</v>
      </c>
      <c r="B4" s="2" t="s">
        <v>43</v>
      </c>
      <c r="C4" s="6" t="s">
        <v>63</v>
      </c>
      <c r="D4" s="2" t="s">
        <v>46</v>
      </c>
      <c r="E4" s="2" t="s">
        <v>7</v>
      </c>
      <c r="F4" s="3">
        <v>16.93</v>
      </c>
      <c r="G4" s="2">
        <v>17</v>
      </c>
      <c r="H4" s="2">
        <v>550.98</v>
      </c>
      <c r="I4" s="3">
        <v>9</v>
      </c>
      <c r="J4" s="19">
        <f t="shared" si="0"/>
        <v>4958.82</v>
      </c>
      <c r="K4" s="19">
        <f t="shared" si="1"/>
        <v>198.3528</v>
      </c>
      <c r="L4" s="19">
        <f t="shared" si="2"/>
        <v>49.588200000000001</v>
      </c>
      <c r="M4" s="2">
        <v>17</v>
      </c>
      <c r="N4" s="8">
        <v>474</v>
      </c>
      <c r="O4" s="2">
        <v>1948.84</v>
      </c>
      <c r="P4" s="3">
        <v>14</v>
      </c>
      <c r="Q4" s="20">
        <f t="shared" si="3"/>
        <v>27283.759999999998</v>
      </c>
      <c r="R4" s="2" t="s">
        <v>49</v>
      </c>
      <c r="S4" s="2" t="s">
        <v>56</v>
      </c>
      <c r="T4" s="2" t="s">
        <v>55</v>
      </c>
      <c r="U4" s="2" t="s">
        <v>54</v>
      </c>
      <c r="V4" s="2">
        <v>75</v>
      </c>
      <c r="W4" s="21">
        <f t="shared" si="4"/>
        <v>225000000</v>
      </c>
      <c r="X4"/>
      <c r="Y4"/>
      <c r="AA4" s="10"/>
      <c r="AB4" s="10"/>
    </row>
    <row r="5" spans="1:28" x14ac:dyDescent="0.2">
      <c r="A5" s="6" t="s">
        <v>42</v>
      </c>
      <c r="B5" s="2" t="s">
        <v>43</v>
      </c>
      <c r="C5" s="6" t="s">
        <v>63</v>
      </c>
      <c r="D5" s="2" t="s">
        <v>46</v>
      </c>
      <c r="E5" s="2" t="s">
        <v>8</v>
      </c>
      <c r="F5" s="2">
        <v>16.7</v>
      </c>
      <c r="G5" s="2">
        <v>17</v>
      </c>
      <c r="H5" s="2">
        <v>374.39</v>
      </c>
      <c r="I5" s="3">
        <v>10</v>
      </c>
      <c r="J5" s="19">
        <f t="shared" si="0"/>
        <v>3743.8999999999996</v>
      </c>
      <c r="K5" s="19">
        <f t="shared" si="1"/>
        <v>149.756</v>
      </c>
      <c r="L5" s="19">
        <f t="shared" si="2"/>
        <v>37.439</v>
      </c>
      <c r="M5" s="2">
        <v>17</v>
      </c>
      <c r="N5" s="2">
        <v>443</v>
      </c>
      <c r="O5" s="2">
        <v>2259.1</v>
      </c>
      <c r="P5" s="18">
        <v>19</v>
      </c>
      <c r="Q5" s="20">
        <f t="shared" si="3"/>
        <v>42922.9</v>
      </c>
      <c r="R5" s="2" t="s">
        <v>50</v>
      </c>
      <c r="S5" s="2" t="s">
        <v>53</v>
      </c>
      <c r="T5" s="2" t="s">
        <v>52</v>
      </c>
      <c r="U5" s="2" t="s">
        <v>51</v>
      </c>
      <c r="V5" s="2">
        <v>75</v>
      </c>
      <c r="W5" s="21">
        <f t="shared" si="4"/>
        <v>225000000</v>
      </c>
    </row>
    <row r="11" spans="1:28" x14ac:dyDescent="0.2">
      <c r="B11" s="2"/>
      <c r="F11" s="2"/>
      <c r="J11" s="6"/>
      <c r="N11" s="6"/>
    </row>
    <row r="152" ht="17" customHeight="1" x14ac:dyDescent="0.2"/>
  </sheetData>
  <phoneticPr fontId="7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opLeftCell="C1" workbookViewId="0">
      <selection activeCell="D5" sqref="D5"/>
    </sheetView>
  </sheetViews>
  <sheetFormatPr baseColWidth="10" defaultColWidth="11.1640625" defaultRowHeight="16" x14ac:dyDescent="0.2"/>
  <cols>
    <col min="1" max="1" width="17.1640625" bestFit="1" customWidth="1"/>
    <col min="2" max="2" width="146" bestFit="1" customWidth="1"/>
    <col min="4" max="4" width="34" customWidth="1"/>
  </cols>
  <sheetData>
    <row r="1" spans="1:4" s="4" customFormat="1" ht="17" x14ac:dyDescent="0.2">
      <c r="A1" s="12" t="s">
        <v>20</v>
      </c>
      <c r="B1" s="12" t="s">
        <v>21</v>
      </c>
      <c r="C1" s="12" t="s">
        <v>22</v>
      </c>
      <c r="D1" s="13" t="s">
        <v>23</v>
      </c>
    </row>
    <row r="2" spans="1:4" x14ac:dyDescent="0.2">
      <c r="A2" s="2" t="s">
        <v>5</v>
      </c>
      <c r="B2" s="2" t="s">
        <v>39</v>
      </c>
      <c r="C2" s="3">
        <v>16.36</v>
      </c>
      <c r="D2" s="2" t="s">
        <v>27</v>
      </c>
    </row>
    <row r="3" spans="1:4" x14ac:dyDescent="0.2">
      <c r="A3" s="2" t="s">
        <v>6</v>
      </c>
      <c r="B3" s="2" t="s">
        <v>40</v>
      </c>
      <c r="C3" s="3">
        <v>16.73</v>
      </c>
      <c r="D3" s="2" t="s">
        <v>27</v>
      </c>
    </row>
    <row r="4" spans="1:4" x14ac:dyDescent="0.2">
      <c r="A4" s="2" t="s">
        <v>7</v>
      </c>
      <c r="B4" s="6" t="s">
        <v>41</v>
      </c>
      <c r="C4" s="3">
        <v>16.93</v>
      </c>
      <c r="D4" s="2" t="s">
        <v>27</v>
      </c>
    </row>
    <row r="5" spans="1:4" x14ac:dyDescent="0.2">
      <c r="A5" s="2" t="s">
        <v>8</v>
      </c>
      <c r="B5" s="6" t="s">
        <v>42</v>
      </c>
      <c r="C5" s="2">
        <v>16.7</v>
      </c>
      <c r="D5" s="2" t="s">
        <v>27</v>
      </c>
    </row>
    <row r="6" spans="1:4" x14ac:dyDescent="0.2">
      <c r="A6" s="2" t="s">
        <v>24</v>
      </c>
      <c r="B6" s="2" t="s">
        <v>26</v>
      </c>
      <c r="C6" s="2" t="s">
        <v>25</v>
      </c>
      <c r="D6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N3:X31"/>
  <sheetViews>
    <sheetView topLeftCell="I1" zoomScale="79" zoomScaleNormal="88" workbookViewId="0">
      <selection activeCell="N41" sqref="N41"/>
    </sheetView>
  </sheetViews>
  <sheetFormatPr baseColWidth="10" defaultColWidth="11.1640625" defaultRowHeight="16" x14ac:dyDescent="0.2"/>
  <cols>
    <col min="13" max="13" width="8.83203125" customWidth="1"/>
    <col min="14" max="14" width="35.1640625" customWidth="1"/>
    <col min="16" max="16" width="15.5" customWidth="1"/>
    <col min="20" max="20" width="16.33203125" customWidth="1"/>
  </cols>
  <sheetData>
    <row r="3" spans="14:24" ht="51" x14ac:dyDescent="0.2">
      <c r="N3" s="1" t="s">
        <v>0</v>
      </c>
      <c r="O3" s="1" t="s">
        <v>1</v>
      </c>
      <c r="P3" s="1" t="s">
        <v>2</v>
      </c>
      <c r="Q3" s="1" t="s">
        <v>3</v>
      </c>
      <c r="R3" s="1" t="s">
        <v>4</v>
      </c>
      <c r="S3" s="1" t="s">
        <v>9</v>
      </c>
      <c r="T3" s="1" t="s">
        <v>10</v>
      </c>
      <c r="U3" s="5" t="s">
        <v>33</v>
      </c>
      <c r="V3" s="7" t="s">
        <v>38</v>
      </c>
      <c r="W3" s="7" t="s">
        <v>36</v>
      </c>
      <c r="X3" s="5" t="s">
        <v>34</v>
      </c>
    </row>
    <row r="4" spans="14:24" x14ac:dyDescent="0.2">
      <c r="N4" s="15" t="s">
        <v>31</v>
      </c>
      <c r="O4" s="15" t="s">
        <v>29</v>
      </c>
      <c r="P4" s="15" t="s">
        <v>30</v>
      </c>
      <c r="Q4" s="15" t="s">
        <v>28</v>
      </c>
      <c r="R4" s="15" t="s">
        <v>5</v>
      </c>
      <c r="S4" s="16">
        <v>15.91</v>
      </c>
      <c r="T4" s="15">
        <v>16</v>
      </c>
      <c r="U4" s="15">
        <v>1950.02</v>
      </c>
      <c r="V4" s="16">
        <v>9</v>
      </c>
      <c r="W4" s="16">
        <f>U4*V4</f>
        <v>17550.18</v>
      </c>
      <c r="X4" s="16">
        <f>(U4*V4*40)/1000</f>
        <v>702.0071999999999</v>
      </c>
    </row>
    <row r="5" spans="14:24" x14ac:dyDescent="0.2">
      <c r="N5" s="2" t="s">
        <v>39</v>
      </c>
      <c r="O5" s="2" t="s">
        <v>43</v>
      </c>
      <c r="P5" s="6" t="s">
        <v>44</v>
      </c>
      <c r="Q5" s="2" t="s">
        <v>46</v>
      </c>
      <c r="R5" s="2" t="s">
        <v>5</v>
      </c>
      <c r="S5" s="3">
        <v>16.36</v>
      </c>
      <c r="T5" s="2">
        <v>16</v>
      </c>
      <c r="U5" s="2">
        <v>997.39</v>
      </c>
      <c r="V5" s="3">
        <v>7</v>
      </c>
      <c r="W5" s="19">
        <f t="shared" ref="W5:W8" si="0">U5*V5</f>
        <v>6981.73</v>
      </c>
      <c r="X5" s="19">
        <f t="shared" ref="X5:X8" si="1">(U5*V5*40)/1000</f>
        <v>279.26919999999996</v>
      </c>
    </row>
    <row r="6" spans="14:24" x14ac:dyDescent="0.2">
      <c r="N6" s="2" t="s">
        <v>40</v>
      </c>
      <c r="O6" s="2" t="s">
        <v>43</v>
      </c>
      <c r="P6" s="6" t="s">
        <v>45</v>
      </c>
      <c r="Q6" s="2" t="s">
        <v>46</v>
      </c>
      <c r="R6" s="2" t="s">
        <v>6</v>
      </c>
      <c r="S6" s="3">
        <v>16.73</v>
      </c>
      <c r="T6" s="2">
        <v>17</v>
      </c>
      <c r="U6" s="2">
        <v>624.49</v>
      </c>
      <c r="V6" s="3">
        <v>8</v>
      </c>
      <c r="W6" s="19">
        <f t="shared" si="0"/>
        <v>4995.92</v>
      </c>
      <c r="X6" s="19">
        <f t="shared" si="1"/>
        <v>199.83679999999998</v>
      </c>
    </row>
    <row r="7" spans="14:24" x14ac:dyDescent="0.2">
      <c r="N7" s="6" t="s">
        <v>41</v>
      </c>
      <c r="O7" s="2" t="s">
        <v>43</v>
      </c>
      <c r="P7" s="6" t="s">
        <v>45</v>
      </c>
      <c r="Q7" s="2" t="s">
        <v>46</v>
      </c>
      <c r="R7" s="2" t="s">
        <v>7</v>
      </c>
      <c r="S7" s="3">
        <v>16.93</v>
      </c>
      <c r="T7" s="2">
        <v>17</v>
      </c>
      <c r="U7" s="2">
        <v>550.98</v>
      </c>
      <c r="V7" s="3">
        <v>9</v>
      </c>
      <c r="W7" s="19">
        <f t="shared" si="0"/>
        <v>4958.82</v>
      </c>
      <c r="X7" s="19">
        <f t="shared" si="1"/>
        <v>198.3528</v>
      </c>
    </row>
    <row r="8" spans="14:24" x14ac:dyDescent="0.2">
      <c r="N8" s="6" t="s">
        <v>42</v>
      </c>
      <c r="O8" s="2" t="s">
        <v>43</v>
      </c>
      <c r="P8" s="6" t="s">
        <v>45</v>
      </c>
      <c r="Q8" s="2" t="s">
        <v>46</v>
      </c>
      <c r="R8" s="2" t="s">
        <v>8</v>
      </c>
      <c r="S8" s="2">
        <v>16.7</v>
      </c>
      <c r="T8" s="2">
        <v>17</v>
      </c>
      <c r="U8" s="2">
        <v>374.39</v>
      </c>
      <c r="V8" s="3">
        <v>10</v>
      </c>
      <c r="W8" s="19">
        <f t="shared" si="0"/>
        <v>3743.8999999999996</v>
      </c>
      <c r="X8" s="19">
        <f t="shared" si="1"/>
        <v>149.756</v>
      </c>
    </row>
    <row r="11" spans="14:24" x14ac:dyDescent="0.2">
      <c r="N11" s="14"/>
    </row>
    <row r="28" spans="21:21" x14ac:dyDescent="0.2">
      <c r="U28" s="9"/>
    </row>
    <row r="29" spans="21:21" x14ac:dyDescent="0.2">
      <c r="U29" s="9"/>
    </row>
    <row r="30" spans="21:21" x14ac:dyDescent="0.2">
      <c r="U30" s="9"/>
    </row>
    <row r="31" spans="21:21" x14ac:dyDescent="0.2">
      <c r="U31" s="9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1A6-084A-884D-A0A5-4431E3FDDF37}">
  <dimension ref="B2:K8"/>
  <sheetViews>
    <sheetView topLeftCell="A3" zoomScale="96" zoomScaleNormal="96" workbookViewId="0">
      <selection activeCell="K42" sqref="K42"/>
    </sheetView>
  </sheetViews>
  <sheetFormatPr baseColWidth="10" defaultColWidth="11.1640625" defaultRowHeight="16" x14ac:dyDescent="0.2"/>
  <cols>
    <col min="2" max="2" width="19.33203125" bestFit="1" customWidth="1"/>
    <col min="4" max="4" width="15.1640625" customWidth="1"/>
  </cols>
  <sheetData>
    <row r="2" spans="2:11" ht="34" x14ac:dyDescent="0.2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17</v>
      </c>
      <c r="H2" s="5" t="s">
        <v>35</v>
      </c>
      <c r="I2" s="5" t="s">
        <v>38</v>
      </c>
      <c r="J2" s="5" t="s">
        <v>37</v>
      </c>
      <c r="K2" s="12" t="s">
        <v>13</v>
      </c>
    </row>
    <row r="3" spans="2:11" x14ac:dyDescent="0.2">
      <c r="B3" s="15" t="s">
        <v>31</v>
      </c>
      <c r="C3" s="15" t="s">
        <v>29</v>
      </c>
      <c r="D3" s="15" t="s">
        <v>30</v>
      </c>
      <c r="E3" s="15" t="s">
        <v>28</v>
      </c>
      <c r="F3" s="15" t="s">
        <v>5</v>
      </c>
      <c r="G3" s="15">
        <v>443</v>
      </c>
      <c r="H3" s="15">
        <v>3119.47</v>
      </c>
      <c r="I3" s="16">
        <v>5</v>
      </c>
      <c r="J3" s="17">
        <f>H3*I3</f>
        <v>15597.349999999999</v>
      </c>
      <c r="K3" s="15" t="s">
        <v>32</v>
      </c>
    </row>
    <row r="4" spans="2:11" x14ac:dyDescent="0.2">
      <c r="B4" s="2" t="s">
        <v>39</v>
      </c>
      <c r="C4" s="2" t="s">
        <v>43</v>
      </c>
      <c r="D4" s="6" t="s">
        <v>44</v>
      </c>
      <c r="E4" s="2" t="s">
        <v>46</v>
      </c>
      <c r="F4" s="2" t="s">
        <v>5</v>
      </c>
      <c r="G4" s="8">
        <v>478</v>
      </c>
      <c r="H4" s="2">
        <v>1491.85</v>
      </c>
      <c r="I4" s="3">
        <v>5</v>
      </c>
      <c r="J4" s="20">
        <f t="shared" ref="J4:J7" si="0">H4*I4</f>
        <v>7459.25</v>
      </c>
      <c r="K4" s="2" t="s">
        <v>47</v>
      </c>
    </row>
    <row r="5" spans="2:11" x14ac:dyDescent="0.2">
      <c r="B5" s="2" t="s">
        <v>40</v>
      </c>
      <c r="C5" s="2" t="s">
        <v>43</v>
      </c>
      <c r="D5" s="6" t="s">
        <v>45</v>
      </c>
      <c r="E5" s="2" t="s">
        <v>46</v>
      </c>
      <c r="F5" s="2" t="s">
        <v>6</v>
      </c>
      <c r="G5" s="8">
        <v>465</v>
      </c>
      <c r="H5" s="2">
        <v>1856.13</v>
      </c>
      <c r="I5" s="3">
        <v>11</v>
      </c>
      <c r="J5" s="20">
        <f t="shared" si="0"/>
        <v>20417.43</v>
      </c>
      <c r="K5" s="2" t="s">
        <v>48</v>
      </c>
    </row>
    <row r="6" spans="2:11" x14ac:dyDescent="0.2">
      <c r="B6" s="6" t="s">
        <v>41</v>
      </c>
      <c r="C6" s="2" t="s">
        <v>43</v>
      </c>
      <c r="D6" s="6" t="s">
        <v>45</v>
      </c>
      <c r="E6" s="2" t="s">
        <v>46</v>
      </c>
      <c r="F6" s="2" t="s">
        <v>7</v>
      </c>
      <c r="G6" s="8">
        <v>474</v>
      </c>
      <c r="H6" s="2">
        <v>1948.84</v>
      </c>
      <c r="I6" s="3">
        <v>14</v>
      </c>
      <c r="J6" s="20">
        <f t="shared" si="0"/>
        <v>27283.759999999998</v>
      </c>
      <c r="K6" s="2" t="s">
        <v>49</v>
      </c>
    </row>
    <row r="7" spans="2:11" x14ac:dyDescent="0.2">
      <c r="B7" s="6" t="s">
        <v>42</v>
      </c>
      <c r="C7" s="2" t="s">
        <v>43</v>
      </c>
      <c r="D7" s="6" t="s">
        <v>45</v>
      </c>
      <c r="E7" s="2" t="s">
        <v>46</v>
      </c>
      <c r="F7" s="2" t="s">
        <v>8</v>
      </c>
      <c r="G7" s="2">
        <v>443</v>
      </c>
      <c r="H7" s="2">
        <v>2259.1</v>
      </c>
      <c r="I7" s="18">
        <v>19</v>
      </c>
      <c r="J7" s="20">
        <f t="shared" si="0"/>
        <v>42922.9</v>
      </c>
      <c r="K7" s="2" t="s">
        <v>50</v>
      </c>
    </row>
    <row r="8" spans="2:11" x14ac:dyDescent="0.2">
      <c r="B8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qPCR</vt:lpstr>
      <vt:lpstr>cDNA Agilent</vt:lpstr>
      <vt:lpstr>Lib Agilent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Maynard</dc:creator>
  <cp:lastModifiedBy>Ryan Miller</cp:lastModifiedBy>
  <cp:lastPrinted>2021-11-03T13:38:35Z</cp:lastPrinted>
  <dcterms:created xsi:type="dcterms:W3CDTF">2020-07-21T18:20:54Z</dcterms:created>
  <dcterms:modified xsi:type="dcterms:W3CDTF">2024-03-28T16:11:44Z</dcterms:modified>
</cp:coreProperties>
</file>